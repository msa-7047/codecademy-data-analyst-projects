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inba\Downloads\"/>
    </mc:Choice>
  </mc:AlternateContent>
  <xr:revisionPtr revIDLastSave="0" documentId="13_ncr:1_{7F1F4860-582A-4AAA-A2F2-2E166AF56950}" xr6:coauthVersionLast="47" xr6:coauthVersionMax="47" xr10:uidLastSave="{00000000-0000-0000-0000-000000000000}"/>
  <bookViews>
    <workbookView xWindow="-98" yWindow="-98" windowWidth="21795" windowHeight="12975" xr2:uid="{21A08B8F-33A6-C748-B43F-55333DB6253A}"/>
  </bookViews>
  <sheets>
    <sheet name="Sheet1" sheetId="1" r:id="rId1"/>
    <sheet name="Exercise 1" sheetId="2" r:id="rId2"/>
    <sheet name="Exercise 2" sheetId="8" r:id="rId3"/>
    <sheet name="Exercise 3 checks" sheetId="5" state="hidden" r:id="rId4"/>
    <sheet name="Exercise 2 checks" sheetId="9" state="hidden" r:id="rId5"/>
    <sheet name="Exercise 1 Checks" sheetId="3" state="hidden" r:id="rId6"/>
  </sheets>
  <calcPr calcId="191029"/>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<sst xmlns="http://schemas.openxmlformats.org/spreadsheetml/2006/main" count="140" uniqueCount="25">
  <si>
    <t>Codecademy: Learn Excel for Data Analysis</t>
  </si>
  <si>
    <t>Exercises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</si>
  <si>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</si>
  <si>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</si>
  <si>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</si>
  <si>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</si>
  <si>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</si>
  <si>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</si>
  <si>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</si>
  <si>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</si>
  <si>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</si>
  <si>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</si>
  <si>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</si>
  <si>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</si>
  <si>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</si>
  <si>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</si>
  <si>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</si>
  <si>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</si>
  <si>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Updating Pivot Tables</t>
  </si>
  <si>
    <t>Welcome to the exercise spreadsheet for Updating Pivot Tables!</t>
  </si>
  <si>
    <t>Average of Book titles per capita</t>
  </si>
  <si>
    <t>We've already created a pivot table for you! However, it appears the data has changed since that pivot table was created. Specifically, the decades for Algeria have been corrected from the 70s to the 50s. Nothing else about the original table has changed. Update the pivot table!</t>
  </si>
  <si>
    <t>We've already created a pivot table for you. But this pivot table only includes data on Algeria, Cyprus, and Tunisia. Since creating it, we've added data on India to the table. Update the pivot table to include this new data!</t>
  </si>
  <si>
    <t>There are 2 exercises to do here. Once you're done, head back to Codecademy to learn more!</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</si>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</sst>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u/>
      <sz val="12"/>
      <color theme="10"/>
      <name val="Calibri"/>
      <family val="2"/>
      <scheme val="minor"/>
    </font>
  </fonts>
  <fills count="5">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6" fillId="4" borderId="2" xfId="0" applyFont="1" applyFill="1" applyBorder="1"/>
    <xf numFmtId="0" fontId="6" fillId="4" borderId="2" xfId="0" applyFont="1" applyFill="1" applyBorder="1" applyAlignment="1">
      <alignment horizontal="left"/>
    </xf>
    <xf numFmtId="0" fontId="8" fillId="2" borderId="0" xfId="1" applyFill="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cellXfs>
  <cellStyles count="2">
    <cellStyle name="Hyperlink" xfId="1" builtinId="8"/>
    <cellStyle name="Normal" xfId="0" builtinId="0"/>
  </cellStyles>
  <dxfs count="12">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296.989031712961" createdVersion="7" refreshedVersion="8" minRefreshableVersion="3" recordCount="23" xr:uid="{5FA28958-C1BB-0645-8D13-608D3B8AA288}">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70" count="3">
        <n v="50"/>
        <n v="60"/>
        <n v="70" u="1"/>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296.989965624998" createdVersion="8" refreshedVersion="8" minRefreshableVersion="3" recordCount="63" xr:uid="{020BEF60-747A-48FB-B66D-7D5312C16780}">
  <cacheSource type="worksheet">
    <worksheetSource ref="A5:E68" sheet="Exercise 2"/>
  </cacheSource>
  <cacheFields count="5">
    <cacheField name="Country" numFmtId="0">
      <sharedItems count="4">
        <s v="Algeria"/>
        <s v="Cyprus"/>
        <s v="Tunisia"/>
        <s v="Ind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r>
    <x v="3"/>
    <n v="1750"/>
    <x v="0"/>
    <n v="7"/>
    <n v="0.1"/>
  </r>
  <r>
    <x v="3"/>
    <n v="1751"/>
    <x v="0"/>
    <n v="7"/>
    <n v="0.1"/>
  </r>
  <r>
    <x v="3"/>
    <n v="1752"/>
    <x v="0"/>
    <n v="7"/>
    <n v="0.1"/>
  </r>
  <r>
    <x v="3"/>
    <n v="1753"/>
    <x v="0"/>
    <n v="7"/>
    <n v="0.1"/>
  </r>
  <r>
    <x v="3"/>
    <n v="1754"/>
    <x v="0"/>
    <n v="7"/>
    <n v="0.1"/>
  </r>
  <r>
    <x v="3"/>
    <n v="1755"/>
    <x v="0"/>
    <n v="7"/>
    <n v="0.1"/>
  </r>
  <r>
    <x v="3"/>
    <n v="1756"/>
    <x v="0"/>
    <n v="7"/>
    <n v="0.1"/>
  </r>
  <r>
    <x v="3"/>
    <n v="1757"/>
    <x v="0"/>
    <n v="7"/>
    <n v="0.1"/>
  </r>
  <r>
    <x v="3"/>
    <n v="1758"/>
    <x v="0"/>
    <n v="7"/>
    <n v="0.1"/>
  </r>
  <r>
    <x v="3"/>
    <n v="1759"/>
    <x v="0"/>
    <n v="7"/>
    <n v="0.1"/>
  </r>
  <r>
    <x v="3"/>
    <n v="1760"/>
    <x v="1"/>
    <n v="7"/>
    <n v="0.1"/>
  </r>
  <r>
    <x v="3"/>
    <n v="1761"/>
    <x v="1"/>
    <n v="7"/>
    <n v="0.1"/>
  </r>
  <r>
    <x v="3"/>
    <n v="1762"/>
    <x v="1"/>
    <n v="7"/>
    <n v="0.1"/>
  </r>
  <r>
    <x v="3"/>
    <n v="1763"/>
    <x v="1"/>
    <n v="7"/>
    <n v="0.1"/>
  </r>
  <r>
    <x v="3"/>
    <n v="1764"/>
    <x v="1"/>
    <n v="7"/>
    <n v="0.1"/>
  </r>
  <r>
    <x v="3"/>
    <n v="1765"/>
    <x v="1"/>
    <n v="7"/>
    <n v="0.1"/>
  </r>
  <r>
    <x v="3"/>
    <n v="1766"/>
    <x v="1"/>
    <n v="7"/>
    <n v="0.1"/>
  </r>
  <r>
    <x v="3"/>
    <n v="1767"/>
    <x v="1"/>
    <n v="7"/>
    <n v="0.1"/>
  </r>
  <r>
    <x v="3"/>
    <n v="1768"/>
    <x v="1"/>
    <n v="7"/>
    <n v="0.1"/>
  </r>
  <r>
    <x v="3"/>
    <n v="1769"/>
    <x v="1"/>
    <n v="7"/>
    <n v="0.1"/>
  </r>
  <r>
    <x v="3"/>
    <n v="1770"/>
    <x v="1"/>
    <n v="7"/>
    <n v="0.1"/>
  </r>
  <r>
    <x v="3"/>
    <n v="1950"/>
    <x v="0"/>
    <n v="9"/>
    <n v="52.28"/>
  </r>
  <r>
    <x v="3"/>
    <n v="1951"/>
    <x v="0"/>
    <n v="9"/>
    <n v="47.61"/>
  </r>
  <r>
    <x v="3"/>
    <n v="1952"/>
    <x v="0"/>
    <n v="9"/>
    <n v="45.53"/>
  </r>
  <r>
    <x v="3"/>
    <n v="1953"/>
    <x v="0"/>
    <n v="9"/>
    <n v="43.52"/>
  </r>
  <r>
    <x v="3"/>
    <n v="1954"/>
    <x v="0"/>
    <n v="9"/>
    <n v="37.64"/>
  </r>
  <r>
    <x v="3"/>
    <n v="1955"/>
    <x v="0"/>
    <n v="9"/>
    <n v="47.22"/>
  </r>
  <r>
    <x v="3"/>
    <n v="1958"/>
    <x v="0"/>
    <n v="9"/>
    <n v="41.71"/>
  </r>
  <r>
    <x v="3"/>
    <n v="1959"/>
    <x v="0"/>
    <n v="9"/>
    <n v="28.12"/>
  </r>
  <r>
    <x v="3"/>
    <n v="1960"/>
    <x v="1"/>
    <n v="9"/>
    <n v="24.75"/>
  </r>
  <r>
    <x v="3"/>
    <n v="1961"/>
    <x v="1"/>
    <n v="9"/>
    <n v="20.2"/>
  </r>
  <r>
    <x v="3"/>
    <n v="1962"/>
    <x v="1"/>
    <n v="9"/>
    <n v="24.42"/>
  </r>
  <r>
    <x v="3"/>
    <n v="1963"/>
    <x v="1"/>
    <n v="9"/>
    <n v="39.299999999999997"/>
  </r>
  <r>
    <x v="3"/>
    <n v="1964"/>
    <x v="1"/>
    <n v="9"/>
    <n v="27.7"/>
  </r>
  <r>
    <x v="3"/>
    <n v="1965"/>
    <x v="1"/>
    <n v="9"/>
    <n v="27"/>
  </r>
  <r>
    <x v="3"/>
    <n v="1966"/>
    <x v="1"/>
    <n v="9"/>
    <n v="24.49"/>
  </r>
  <r>
    <x v="3"/>
    <n v="1967"/>
    <x v="1"/>
    <n v="9"/>
    <n v="20.98"/>
  </r>
  <r>
    <x v="3"/>
    <n v="1968"/>
    <x v="1"/>
    <n v="9"/>
    <n v="22.03"/>
  </r>
  <r>
    <x v="3"/>
    <n v="1969"/>
    <x v="1"/>
    <n v="9"/>
    <n v="25.96"/>
  </r>
  <r>
    <x v="3"/>
    <n v="1970"/>
    <x v="1"/>
    <n v="9"/>
    <n v="2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B8B75-BB39-EA4C-B374-47B7D227960D}"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4">
        <item x="0"/>
        <item x="1"/>
        <item m="1" x="2"/>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CD77F3-38B4-4443-AD0D-1B1E29D06491}" name="PivotTable1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K9" firstHeaderRow="1" firstDataRow="2" firstDataCol="1"/>
  <pivotFields count="5">
    <pivotField axis="axisRow" showAll="0">
      <items count="5">
        <item x="0"/>
        <item x="1"/>
        <item x="2"/>
        <item x="3"/>
        <item t="default"/>
      </items>
    </pivotField>
    <pivotField showAll="0"/>
    <pivotField axis="axisCol" showAll="0">
      <items count="3">
        <item x="0"/>
        <item x="1"/>
        <item t="default"/>
      </items>
    </pivotField>
    <pivotField showAll="0"/>
    <pivotField dataField="1" showAll="0"/>
  </pivotFields>
  <rowFields count="1">
    <field x="0"/>
  </rowFields>
  <rowItems count="5">
    <i>
      <x/>
    </i>
    <i>
      <x v="1"/>
    </i>
    <i>
      <x v="2"/>
    </i>
    <i>
      <x v="3"/>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2"/>
  <sheetViews>
    <sheetView tabSelected="1" workbookViewId="0">
      <selection activeCell="C13" sqref="C13"/>
    </sheetView>
  </sheetViews>
  <sheetFormatPr defaultColWidth="10.8125" defaultRowHeight="22.15"/>
  <cols>
    <col min="1" max="1" width="10.8125" style="2"/>
    <col min="2" max="2" width="10.8125" style="2" customWidth="1"/>
    <col min="3" max="3" width="129.1875" style="2" customWidth="1"/>
    <col min="4" max="5" width="10.8125" style="2"/>
    <col min="6" max="6" width="39" style="2" customWidth="1"/>
    <col min="7" max="16384" width="10.8125" style="2"/>
  </cols>
  <sheetData>
    <row r="1" spans="2:9" s="1" customFormat="1" ht="15"/>
    <row r="2" spans="2:9" s="1" customFormat="1" ht="29.65">
      <c r="B2" s="3" t="s">
        <v>0</v>
      </c>
    </row>
    <row r="3" spans="2:9" s="1" customFormat="1" ht="24.75">
      <c r="B3" s="4" t="s">
        <v>18</v>
      </c>
    </row>
    <row r="4" spans="2:9" s="1" customFormat="1" ht="15"/>
    <row r="5" spans="2:9">
      <c r="B5" s="2" t="s">
        <v>19</v>
      </c>
    </row>
    <row r="6" spans="2:9">
      <c r="B6" s="2" t="s">
        <v>23</v>
      </c>
    </row>
    <row r="7" spans="2:9">
      <c r="B7" s="2" t="s">
        <v>2</v>
      </c>
      <c r="F7" s="6"/>
    </row>
    <row r="8" spans="2:9">
      <c r="B8" s="2" t="s">
        <v>3</v>
      </c>
    </row>
    <row r="10" spans="2:9" ht="24.75">
      <c r="B10" s="4" t="s">
        <v>1</v>
      </c>
    </row>
    <row r="11" spans="2:9">
      <c r="B11" s="7">
        <v>1</v>
      </c>
      <c r="C11" s="19" t="str">
        <f>IF('Exercise 1'!A3&lt;&gt;"Correct!","Incomplete","Complete!")</f>
        <v>Complete!</v>
      </c>
      <c r="D11" s="19"/>
      <c r="E11" s="19"/>
      <c r="F11" s="19"/>
      <c r="G11" s="19"/>
      <c r="H11" s="19"/>
      <c r="I11" s="19"/>
    </row>
    <row r="12" spans="2:9">
      <c r="B12" s="2">
        <v>2</v>
      </c>
      <c r="C12" s="2" t="str">
        <f>IF('Exercise 2'!A3&lt;&gt;"Correct!","Incomplete","Complete!")</f>
        <v>Complete!</v>
      </c>
    </row>
    <row r="13" spans="2:9">
      <c r="B13" s="7"/>
      <c r="C13" s="5"/>
    </row>
    <row r="14" spans="2:9">
      <c r="C14" s="18" t="s">
        <v>24</v>
      </c>
    </row>
    <row r="16" spans="2:9">
      <c r="B16" s="7"/>
      <c r="C16" s="5"/>
    </row>
    <row r="19" spans="2:3">
      <c r="B19" s="7"/>
      <c r="C19" s="5"/>
    </row>
    <row r="22" spans="2:3">
      <c r="B22" s="7"/>
      <c r="C22" s="5"/>
    </row>
  </sheetData>
  <mergeCells count="1">
    <mergeCell ref="C11:I11"/>
  </mergeCells>
  <conditionalFormatting sqref="C11">
    <cfRule type="containsText" dxfId="11" priority="1" operator="containsText" text="Correct">
      <formula>NOT(ISERROR(SEARCH("Correct",C11)))</formula>
    </cfRule>
    <cfRule type="containsText" dxfId="10" priority="2" operator="containsText" text="Not quite">
      <formula>NOT(ISERROR(SEARCH("Not quite",C11)))</formula>
    </cfRule>
  </conditionalFormatting>
  <conditionalFormatting sqref="C13 C16">
    <cfRule type="containsText" dxfId="9" priority="17" operator="containsText" text="Correct">
      <formula>NOT(ISERROR(SEARCH("Correct",C13)))</formula>
    </cfRule>
    <cfRule type="containsText" dxfId="8" priority="18" operator="containsText" text="Not quite">
      <formula>NOT(ISERROR(SEARCH("Not quite",C13)))</formula>
    </cfRule>
  </conditionalFormatting>
  <conditionalFormatting sqref="C19">
    <cfRule type="containsText" dxfId="7" priority="5" operator="containsText" text="Correct">
      <formula>NOT(ISERROR(SEARCH("Correct",C19)))</formula>
    </cfRule>
    <cfRule type="containsText" dxfId="6" priority="6" operator="containsText" text="Not quite">
      <formula>NOT(ISERROR(SEARCH("Not quite",C19)))</formula>
    </cfRule>
  </conditionalFormatting>
  <conditionalFormatting sqref="C22">
    <cfRule type="containsText" dxfId="5" priority="3" operator="containsText" text="Correct">
      <formula>NOT(ISERROR(SEARCH("Correct",C22)))</formula>
    </cfRule>
    <cfRule type="containsText" dxfId="4" priority="4" operator="containsText" text="Not quite">
      <formula>NOT(ISERROR(SEARCH("Not quite",C22)))</formula>
    </cfRule>
  </conditionalFormatting>
  <hyperlinks>
    <hyperlink ref="C14" r:id="rId1" xr:uid="{C1FB5EB9-37DF-404E-8196-FAC4264837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L28"/>
  <sheetViews>
    <sheetView showGridLines="0" workbookViewId="0">
      <selection activeCell="G2" sqref="G2"/>
    </sheetView>
  </sheetViews>
  <sheetFormatPr defaultColWidth="10.8125" defaultRowHeight="15.75"/>
  <cols>
    <col min="1" max="4" width="10.8125" style="8"/>
    <col min="5" max="5" width="18.6875" style="8" bestFit="1" customWidth="1"/>
    <col min="6" max="6" width="10.8125" style="8"/>
    <col min="7" max="7" width="30.1875" style="8" customWidth="1"/>
    <col min="8" max="8" width="27.75" style="11" bestFit="1" customWidth="1"/>
    <col min="9" max="9" width="14.875" style="11" bestFit="1" customWidth="1"/>
    <col min="10" max="11" width="11.6875" style="11" bestFit="1" customWidth="1"/>
    <col min="12" max="12" width="12.1875" style="11" bestFit="1" customWidth="1"/>
    <col min="13" max="16384" width="10.8125" style="11"/>
  </cols>
  <sheetData>
    <row r="1" spans="1:12" s="12" customFormat="1" ht="47" customHeight="1">
      <c r="A1" s="10" t="s">
        <v>4</v>
      </c>
    </row>
    <row r="2" spans="1:12" s="8" customFormat="1" ht="103.05" customHeight="1">
      <c r="A2" s="20" t="s">
        <v>21</v>
      </c>
      <c r="B2" s="20"/>
      <c r="C2" s="20"/>
      <c r="D2" s="20"/>
      <c r="E2" s="20"/>
      <c r="F2" s="20"/>
      <c r="H2" s="10"/>
    </row>
    <row r="3" spans="1:12" ht="20" customHeight="1">
      <c r="A3" s="21" t="str" cm="1">
        <f t="array" ref="A3">IF(SUMPRODUCT((H5:K7='Exercise 1 Checks'!A1:D3)-1)=0,"update the pivot table --&gt;",IF(SUMPRODUCT((H5:J7='Exercise 1 Checks'!F1:H3)-1)=0,"Correct!","Not quite! Did you select 'Refresh' from the 'PivotTable Analyze' tab?"))</f>
        <v>Correct!</v>
      </c>
      <c r="B3" s="21"/>
      <c r="C3" s="21"/>
      <c r="D3" s="21"/>
      <c r="E3" s="21"/>
      <c r="F3" s="21"/>
      <c r="G3" s="21"/>
      <c r="H3" s="13" t="s">
        <v>20</v>
      </c>
      <c r="I3" s="13" t="s">
        <v>15</v>
      </c>
      <c r="J3"/>
      <c r="K3"/>
      <c r="L3"/>
    </row>
    <row r="4" spans="1:12" ht="20.25">
      <c r="A4" s="9"/>
      <c r="H4" s="13" t="s">
        <v>13</v>
      </c>
      <c r="I4">
        <v>50</v>
      </c>
      <c r="J4">
        <v>60</v>
      </c>
      <c r="K4" t="s">
        <v>14</v>
      </c>
      <c r="L4"/>
    </row>
    <row r="5" spans="1:12">
      <c r="A5" t="s">
        <v>5</v>
      </c>
      <c r="B5" t="s">
        <v>6</v>
      </c>
      <c r="C5" t="s">
        <v>7</v>
      </c>
      <c r="D5" t="s">
        <v>8</v>
      </c>
      <c r="E5" t="s">
        <v>9</v>
      </c>
      <c r="H5" s="14" t="s">
        <v>10</v>
      </c>
      <c r="I5">
        <v>9.36</v>
      </c>
      <c r="J5">
        <v>15.873333333333333</v>
      </c>
      <c r="K5">
        <v>14.244999999999999</v>
      </c>
      <c r="L5"/>
    </row>
    <row r="6" spans="1:12">
      <c r="A6" t="s">
        <v>10</v>
      </c>
      <c r="B6">
        <v>1953</v>
      </c>
      <c r="C6">
        <v>50</v>
      </c>
      <c r="D6">
        <v>9</v>
      </c>
      <c r="E6">
        <v>10.6</v>
      </c>
      <c r="H6" s="14" t="s">
        <v>11</v>
      </c>
      <c r="I6"/>
      <c r="J6">
        <v>322.39500000000004</v>
      </c>
      <c r="K6">
        <v>322.39500000000004</v>
      </c>
      <c r="L6"/>
    </row>
    <row r="7" spans="1:12">
      <c r="A7" t="s">
        <v>10</v>
      </c>
      <c r="B7">
        <v>1954</v>
      </c>
      <c r="C7">
        <v>50</v>
      </c>
      <c r="D7">
        <v>9</v>
      </c>
      <c r="E7">
        <v>8.1199999999999992</v>
      </c>
      <c r="H7" s="14" t="s">
        <v>12</v>
      </c>
      <c r="I7">
        <v>24.939999999999998</v>
      </c>
      <c r="J7">
        <v>37.0075</v>
      </c>
      <c r="K7">
        <v>30.303333333333335</v>
      </c>
      <c r="L7"/>
    </row>
    <row r="8" spans="1:12">
      <c r="A8" t="s">
        <v>10</v>
      </c>
      <c r="B8">
        <v>1963</v>
      </c>
      <c r="C8">
        <v>60</v>
      </c>
      <c r="D8">
        <v>9</v>
      </c>
      <c r="E8">
        <v>12.6</v>
      </c>
      <c r="H8" s="14" t="s">
        <v>14</v>
      </c>
      <c r="I8">
        <v>20.488571428571426</v>
      </c>
      <c r="J8">
        <v>136.10250000000005</v>
      </c>
      <c r="K8">
        <v>100.91565217391305</v>
      </c>
      <c r="L8"/>
    </row>
    <row r="9" spans="1:12">
      <c r="A9" t="s">
        <v>10</v>
      </c>
      <c r="B9">
        <v>1964</v>
      </c>
      <c r="C9">
        <v>60</v>
      </c>
      <c r="D9">
        <v>9</v>
      </c>
      <c r="E9">
        <v>13.61</v>
      </c>
      <c r="H9"/>
      <c r="I9"/>
      <c r="J9"/>
    </row>
    <row r="10" spans="1:12">
      <c r="A10" t="s">
        <v>10</v>
      </c>
      <c r="B10">
        <v>1965</v>
      </c>
      <c r="C10">
        <v>60</v>
      </c>
      <c r="D10">
        <v>9</v>
      </c>
      <c r="E10">
        <v>10.95</v>
      </c>
      <c r="H10"/>
      <c r="I10"/>
      <c r="J10"/>
    </row>
    <row r="11" spans="1:12">
      <c r="A11" t="s">
        <v>10</v>
      </c>
      <c r="B11">
        <v>1966</v>
      </c>
      <c r="C11">
        <v>60</v>
      </c>
      <c r="D11">
        <v>9</v>
      </c>
      <c r="E11">
        <v>15.88</v>
      </c>
      <c r="H11"/>
      <c r="I11"/>
      <c r="J11"/>
    </row>
    <row r="12" spans="1:12">
      <c r="A12" t="s">
        <v>10</v>
      </c>
      <c r="B12">
        <v>1967</v>
      </c>
      <c r="C12">
        <v>60</v>
      </c>
      <c r="D12">
        <v>9</v>
      </c>
      <c r="E12">
        <v>20.22</v>
      </c>
      <c r="H12"/>
      <c r="I12"/>
      <c r="J12"/>
    </row>
    <row r="13" spans="1:12">
      <c r="A13" t="s">
        <v>10</v>
      </c>
      <c r="B13">
        <v>1968</v>
      </c>
      <c r="C13">
        <v>60</v>
      </c>
      <c r="D13">
        <v>9</v>
      </c>
      <c r="E13">
        <v>21.98</v>
      </c>
      <c r="H13"/>
      <c r="I13"/>
      <c r="J13"/>
    </row>
    <row r="14" spans="1:12">
      <c r="A14" t="s">
        <v>11</v>
      </c>
      <c r="B14">
        <v>1964</v>
      </c>
      <c r="C14">
        <v>60</v>
      </c>
      <c r="D14">
        <v>9</v>
      </c>
      <c r="E14">
        <v>289.86</v>
      </c>
      <c r="H14"/>
      <c r="I14"/>
      <c r="J14"/>
    </row>
    <row r="15" spans="1:12">
      <c r="A15" t="s">
        <v>11</v>
      </c>
      <c r="B15">
        <v>1965</v>
      </c>
      <c r="C15">
        <v>60</v>
      </c>
      <c r="D15">
        <v>9</v>
      </c>
      <c r="E15">
        <v>140.49</v>
      </c>
      <c r="H15"/>
      <c r="I15"/>
      <c r="J15"/>
    </row>
    <row r="16" spans="1:12">
      <c r="A16" t="s">
        <v>11</v>
      </c>
      <c r="B16">
        <v>1966</v>
      </c>
      <c r="C16">
        <v>60</v>
      </c>
      <c r="D16">
        <v>9</v>
      </c>
      <c r="E16">
        <v>265.55</v>
      </c>
      <c r="H16"/>
      <c r="I16"/>
      <c r="J16"/>
    </row>
    <row r="17" spans="1:10">
      <c r="A17" t="s">
        <v>11</v>
      </c>
      <c r="B17">
        <v>1967</v>
      </c>
      <c r="C17">
        <v>60</v>
      </c>
      <c r="D17">
        <v>9</v>
      </c>
      <c r="E17">
        <v>345.35</v>
      </c>
      <c r="H17"/>
      <c r="I17"/>
      <c r="J17"/>
    </row>
    <row r="18" spans="1:10">
      <c r="A18" t="s">
        <v>11</v>
      </c>
      <c r="B18">
        <v>1969</v>
      </c>
      <c r="C18">
        <v>60</v>
      </c>
      <c r="D18">
        <v>9</v>
      </c>
      <c r="E18">
        <v>559.57000000000005</v>
      </c>
      <c r="H18"/>
      <c r="I18"/>
      <c r="J18"/>
    </row>
    <row r="19" spans="1:10">
      <c r="A19" t="s">
        <v>11</v>
      </c>
      <c r="B19">
        <v>1970</v>
      </c>
      <c r="C19">
        <v>60</v>
      </c>
      <c r="D19">
        <v>9</v>
      </c>
      <c r="E19">
        <v>333.55</v>
      </c>
      <c r="H19"/>
      <c r="I19"/>
      <c r="J19"/>
    </row>
    <row r="20" spans="1:10">
      <c r="A20" t="s">
        <v>12</v>
      </c>
      <c r="B20">
        <v>1953</v>
      </c>
      <c r="C20">
        <v>50</v>
      </c>
      <c r="D20">
        <v>9</v>
      </c>
      <c r="E20">
        <v>15.08</v>
      </c>
      <c r="H20"/>
      <c r="I20"/>
      <c r="J20"/>
    </row>
    <row r="21" spans="1:10">
      <c r="A21" t="s">
        <v>12</v>
      </c>
      <c r="B21">
        <v>1954</v>
      </c>
      <c r="C21">
        <v>50</v>
      </c>
      <c r="D21">
        <v>9</v>
      </c>
      <c r="E21">
        <v>23.81</v>
      </c>
    </row>
    <row r="22" spans="1:10">
      <c r="A22" t="s">
        <v>12</v>
      </c>
      <c r="B22">
        <v>1955</v>
      </c>
      <c r="C22">
        <v>50</v>
      </c>
      <c r="D22">
        <v>9</v>
      </c>
      <c r="E22">
        <v>32.24</v>
      </c>
    </row>
    <row r="23" spans="1:10">
      <c r="A23" t="s">
        <v>12</v>
      </c>
      <c r="B23">
        <v>1957</v>
      </c>
      <c r="C23">
        <v>50</v>
      </c>
      <c r="D23">
        <v>9</v>
      </c>
      <c r="E23">
        <v>29.11</v>
      </c>
    </row>
    <row r="24" spans="1:10">
      <c r="A24" t="s">
        <v>12</v>
      </c>
      <c r="B24">
        <v>1958</v>
      </c>
      <c r="C24">
        <v>50</v>
      </c>
      <c r="D24">
        <v>9</v>
      </c>
      <c r="E24">
        <v>24.46</v>
      </c>
    </row>
    <row r="25" spans="1:10">
      <c r="A25" t="s">
        <v>12</v>
      </c>
      <c r="B25">
        <v>1964</v>
      </c>
      <c r="C25">
        <v>60</v>
      </c>
      <c r="D25">
        <v>9</v>
      </c>
      <c r="E25">
        <v>23.95</v>
      </c>
    </row>
    <row r="26" spans="1:10">
      <c r="A26" t="s">
        <v>12</v>
      </c>
      <c r="B26">
        <v>1965</v>
      </c>
      <c r="C26">
        <v>60</v>
      </c>
      <c r="D26">
        <v>9</v>
      </c>
      <c r="E26">
        <v>43.8</v>
      </c>
    </row>
    <row r="27" spans="1:10">
      <c r="A27" t="s">
        <v>12</v>
      </c>
      <c r="B27">
        <v>1966</v>
      </c>
      <c r="C27">
        <v>60</v>
      </c>
      <c r="D27">
        <v>9</v>
      </c>
      <c r="E27">
        <v>53.46</v>
      </c>
    </row>
    <row r="28" spans="1:10">
      <c r="A28" t="s">
        <v>12</v>
      </c>
      <c r="B28">
        <v>1969</v>
      </c>
      <c r="C28">
        <v>60</v>
      </c>
      <c r="D28">
        <v>9</v>
      </c>
      <c r="E2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68"/>
  <sheetViews>
    <sheetView showGridLines="0" topLeftCell="A2" workbookViewId="0">
      <selection activeCell="H3" sqref="H3:K9"/>
      <pivotSelection pane="bottomRight" showHeader="1" activeRow="2" activeCol="7" click="1" r:id="rId1">
        <pivotArea type="all" dataOnly="0" outline="0" fieldPosition="0"/>
      </pivotSelection>
    </sheetView>
  </sheetViews>
  <sheetFormatPr defaultColWidth="10.8125" defaultRowHeight="15.75"/>
  <cols>
    <col min="1" max="4" width="10.8125" style="8"/>
    <col min="5" max="5" width="18.6875" style="8" bestFit="1" customWidth="1"/>
    <col min="6" max="6" width="10.8125" style="8"/>
    <col min="7" max="7" width="67.6875" style="8" customWidth="1"/>
    <col min="8" max="8" width="27.75" style="11" bestFit="1" customWidth="1"/>
    <col min="9" max="9" width="14.875" style="11" bestFit="1" customWidth="1"/>
    <col min="10" max="11" width="11.6875" style="11" bestFit="1" customWidth="1"/>
    <col min="12" max="12" width="10.8125" style="11" bestFit="1" customWidth="1"/>
    <col min="13" max="16384" width="10.8125" style="11"/>
  </cols>
  <sheetData>
    <row r="1" spans="1:12" s="12" customFormat="1" ht="47" customHeight="1">
      <c r="A1" s="10" t="s">
        <v>16</v>
      </c>
    </row>
    <row r="2" spans="1:12" s="8" customFormat="1" ht="103.05" customHeight="1">
      <c r="A2" s="20" t="s">
        <v>22</v>
      </c>
      <c r="B2" s="20"/>
      <c r="C2" s="20"/>
      <c r="D2" s="20"/>
      <c r="E2" s="20"/>
      <c r="F2" s="20"/>
      <c r="H2" s="10"/>
    </row>
    <row r="3" spans="1:12" ht="20" customHeight="1">
      <c r="A3" s="21" t="str" cm="1">
        <f t="array" ref="A3">IF(SUMPRODUCT((H5:J8='Exercise 2 checks'!A1:C4)-1)=0,"update the pivot table --&gt;",IF(SUMPRODUCT((H5:J8='Exercise 2 checks'!E1:G4)-1)=0,"Correct!","Not quite! Did you select 'Change Data Source'  and then select the entire original table?"))</f>
        <v>Correct!</v>
      </c>
      <c r="B3" s="21"/>
      <c r="C3" s="21"/>
      <c r="D3" s="21"/>
      <c r="E3" s="21"/>
      <c r="F3" s="21"/>
      <c r="G3" s="21"/>
      <c r="H3" s="13" t="s">
        <v>20</v>
      </c>
      <c r="I3" s="13" t="s">
        <v>15</v>
      </c>
      <c r="J3"/>
      <c r="K3"/>
      <c r="L3"/>
    </row>
    <row r="4" spans="1:12" ht="20.25">
      <c r="A4" s="9"/>
      <c r="H4" s="13" t="s">
        <v>13</v>
      </c>
      <c r="I4">
        <v>50</v>
      </c>
      <c r="J4">
        <v>60</v>
      </c>
      <c r="K4" t="s">
        <v>14</v>
      </c>
      <c r="L4"/>
    </row>
    <row r="5" spans="1:12">
      <c r="A5" t="s">
        <v>5</v>
      </c>
      <c r="B5" t="s">
        <v>6</v>
      </c>
      <c r="C5" t="s">
        <v>7</v>
      </c>
      <c r="D5" t="s">
        <v>8</v>
      </c>
      <c r="E5" t="s">
        <v>9</v>
      </c>
      <c r="H5" s="14" t="s">
        <v>10</v>
      </c>
      <c r="I5">
        <v>9.36</v>
      </c>
      <c r="J5">
        <v>15.873333333333333</v>
      </c>
      <c r="K5">
        <v>14.244999999999999</v>
      </c>
      <c r="L5"/>
    </row>
    <row r="6" spans="1:12">
      <c r="A6" t="s">
        <v>10</v>
      </c>
      <c r="B6">
        <v>1953</v>
      </c>
      <c r="C6">
        <v>50</v>
      </c>
      <c r="D6">
        <v>9</v>
      </c>
      <c r="E6">
        <v>10.6</v>
      </c>
      <c r="H6" s="14" t="s">
        <v>11</v>
      </c>
      <c r="I6"/>
      <c r="J6">
        <v>322.39500000000004</v>
      </c>
      <c r="K6">
        <v>322.39500000000004</v>
      </c>
    </row>
    <row r="7" spans="1:12">
      <c r="A7" t="s">
        <v>10</v>
      </c>
      <c r="B7">
        <v>1954</v>
      </c>
      <c r="C7">
        <v>50</v>
      </c>
      <c r="D7">
        <v>9</v>
      </c>
      <c r="E7">
        <v>8.1199999999999992</v>
      </c>
      <c r="H7" s="14" t="s">
        <v>12</v>
      </c>
      <c r="I7">
        <v>24.939999999999998</v>
      </c>
      <c r="J7">
        <v>37.0075</v>
      </c>
      <c r="K7">
        <v>30.303333333333335</v>
      </c>
    </row>
    <row r="8" spans="1:12">
      <c r="A8" t="s">
        <v>10</v>
      </c>
      <c r="B8">
        <v>1963</v>
      </c>
      <c r="C8">
        <v>60</v>
      </c>
      <c r="D8">
        <v>9</v>
      </c>
      <c r="E8">
        <v>12.6</v>
      </c>
      <c r="H8" s="14" t="s">
        <v>17</v>
      </c>
      <c r="I8">
        <v>19.146111111111114</v>
      </c>
      <c r="J8">
        <v>12.912727272727272</v>
      </c>
      <c r="K8">
        <v>15.717750000000006</v>
      </c>
    </row>
    <row r="9" spans="1:12">
      <c r="A9" t="s">
        <v>10</v>
      </c>
      <c r="B9">
        <v>1964</v>
      </c>
      <c r="C9">
        <v>60</v>
      </c>
      <c r="D9">
        <v>9</v>
      </c>
      <c r="E9">
        <v>13.61</v>
      </c>
      <c r="H9" s="14" t="s">
        <v>14</v>
      </c>
      <c r="I9">
        <v>19.521999999999995</v>
      </c>
      <c r="J9">
        <v>64.782105263157888</v>
      </c>
      <c r="K9">
        <v>46.821746031746038</v>
      </c>
    </row>
    <row r="10" spans="1:12">
      <c r="A10" t="s">
        <v>10</v>
      </c>
      <c r="B10">
        <v>1965</v>
      </c>
      <c r="C10">
        <v>60</v>
      </c>
      <c r="D10">
        <v>9</v>
      </c>
      <c r="E10">
        <v>10.95</v>
      </c>
      <c r="H10"/>
      <c r="I10"/>
      <c r="J10"/>
    </row>
    <row r="11" spans="1:12">
      <c r="A11" t="s">
        <v>10</v>
      </c>
      <c r="B11">
        <v>1966</v>
      </c>
      <c r="C11">
        <v>60</v>
      </c>
      <c r="D11">
        <v>9</v>
      </c>
      <c r="E11">
        <v>15.88</v>
      </c>
      <c r="H11"/>
      <c r="I11"/>
      <c r="J11"/>
    </row>
    <row r="12" spans="1:12">
      <c r="A12" t="s">
        <v>10</v>
      </c>
      <c r="B12">
        <v>1967</v>
      </c>
      <c r="C12">
        <v>60</v>
      </c>
      <c r="D12">
        <v>9</v>
      </c>
      <c r="E12">
        <v>20.22</v>
      </c>
      <c r="H12"/>
      <c r="I12"/>
      <c r="J12"/>
    </row>
    <row r="13" spans="1:12">
      <c r="A13" t="s">
        <v>10</v>
      </c>
      <c r="B13">
        <v>1968</v>
      </c>
      <c r="C13">
        <v>60</v>
      </c>
      <c r="D13">
        <v>9</v>
      </c>
      <c r="E13">
        <v>21.98</v>
      </c>
      <c r="H13"/>
      <c r="I13"/>
      <c r="J13"/>
    </row>
    <row r="14" spans="1:12">
      <c r="A14" t="s">
        <v>11</v>
      </c>
      <c r="B14">
        <v>1964</v>
      </c>
      <c r="C14">
        <v>60</v>
      </c>
      <c r="D14">
        <v>9</v>
      </c>
      <c r="E14">
        <v>289.86</v>
      </c>
      <c r="H14"/>
      <c r="I14"/>
      <c r="J14"/>
    </row>
    <row r="15" spans="1:12">
      <c r="A15" t="s">
        <v>11</v>
      </c>
      <c r="B15">
        <v>1965</v>
      </c>
      <c r="C15">
        <v>60</v>
      </c>
      <c r="D15">
        <v>9</v>
      </c>
      <c r="E15">
        <v>140.49</v>
      </c>
      <c r="H15"/>
      <c r="I15"/>
      <c r="J15"/>
    </row>
    <row r="16" spans="1:12">
      <c r="A16" t="s">
        <v>11</v>
      </c>
      <c r="B16">
        <v>1966</v>
      </c>
      <c r="C16">
        <v>60</v>
      </c>
      <c r="D16">
        <v>9</v>
      </c>
      <c r="E16">
        <v>265.55</v>
      </c>
      <c r="H16"/>
      <c r="I16"/>
      <c r="J16"/>
    </row>
    <row r="17" spans="1:10">
      <c r="A17" t="s">
        <v>11</v>
      </c>
      <c r="B17">
        <v>1967</v>
      </c>
      <c r="C17">
        <v>60</v>
      </c>
      <c r="D17">
        <v>9</v>
      </c>
      <c r="E17">
        <v>345.35</v>
      </c>
      <c r="H17"/>
      <c r="I17"/>
      <c r="J17"/>
    </row>
    <row r="18" spans="1:10">
      <c r="A18" t="s">
        <v>11</v>
      </c>
      <c r="B18">
        <v>1969</v>
      </c>
      <c r="C18">
        <v>60</v>
      </c>
      <c r="D18">
        <v>9</v>
      </c>
      <c r="E18">
        <v>559.57000000000005</v>
      </c>
      <c r="H18"/>
      <c r="I18"/>
      <c r="J18"/>
    </row>
    <row r="19" spans="1:10">
      <c r="A19" t="s">
        <v>11</v>
      </c>
      <c r="B19">
        <v>1970</v>
      </c>
      <c r="C19">
        <v>60</v>
      </c>
      <c r="D19">
        <v>9</v>
      </c>
      <c r="E19">
        <v>333.55</v>
      </c>
      <c r="H19"/>
      <c r="I19"/>
      <c r="J19"/>
    </row>
    <row r="20" spans="1:10">
      <c r="A20" t="s">
        <v>12</v>
      </c>
      <c r="B20">
        <v>1953</v>
      </c>
      <c r="C20">
        <v>50</v>
      </c>
      <c r="D20">
        <v>9</v>
      </c>
      <c r="E20">
        <v>15.08</v>
      </c>
      <c r="H20"/>
      <c r="I20"/>
      <c r="J20"/>
    </row>
    <row r="21" spans="1:10">
      <c r="A21" t="s">
        <v>12</v>
      </c>
      <c r="B21">
        <v>1954</v>
      </c>
      <c r="C21">
        <v>50</v>
      </c>
      <c r="D21">
        <v>9</v>
      </c>
      <c r="E21">
        <v>23.81</v>
      </c>
    </row>
    <row r="22" spans="1:10">
      <c r="A22" t="s">
        <v>12</v>
      </c>
      <c r="B22">
        <v>1955</v>
      </c>
      <c r="C22">
        <v>50</v>
      </c>
      <c r="D22">
        <v>9</v>
      </c>
      <c r="E22">
        <v>32.24</v>
      </c>
    </row>
    <row r="23" spans="1:10">
      <c r="A23" t="s">
        <v>12</v>
      </c>
      <c r="B23">
        <v>1957</v>
      </c>
      <c r="C23">
        <v>50</v>
      </c>
      <c r="D23">
        <v>9</v>
      </c>
      <c r="E23">
        <v>29.11</v>
      </c>
    </row>
    <row r="24" spans="1:10">
      <c r="A24" t="s">
        <v>12</v>
      </c>
      <c r="B24">
        <v>1958</v>
      </c>
      <c r="C24">
        <v>50</v>
      </c>
      <c r="D24">
        <v>9</v>
      </c>
      <c r="E24">
        <v>24.46</v>
      </c>
    </row>
    <row r="25" spans="1:10">
      <c r="A25" t="s">
        <v>12</v>
      </c>
      <c r="B25">
        <v>1964</v>
      </c>
      <c r="C25">
        <v>60</v>
      </c>
      <c r="D25">
        <v>9</v>
      </c>
      <c r="E25">
        <v>23.95</v>
      </c>
    </row>
    <row r="26" spans="1:10">
      <c r="A26" t="s">
        <v>12</v>
      </c>
      <c r="B26">
        <v>1965</v>
      </c>
      <c r="C26">
        <v>60</v>
      </c>
      <c r="D26">
        <v>9</v>
      </c>
      <c r="E26">
        <v>43.8</v>
      </c>
    </row>
    <row r="27" spans="1:10">
      <c r="A27" t="s">
        <v>12</v>
      </c>
      <c r="B27">
        <v>1966</v>
      </c>
      <c r="C27">
        <v>60</v>
      </c>
      <c r="D27">
        <v>9</v>
      </c>
      <c r="E27">
        <v>53.46</v>
      </c>
    </row>
    <row r="28" spans="1:10">
      <c r="A28" t="s">
        <v>12</v>
      </c>
      <c r="B28">
        <v>1969</v>
      </c>
      <c r="C28">
        <v>60</v>
      </c>
      <c r="D28">
        <v>9</v>
      </c>
      <c r="E28">
        <v>26.82</v>
      </c>
    </row>
    <row r="29" spans="1:10">
      <c r="A29" t="s">
        <v>17</v>
      </c>
      <c r="B29">
        <v>1750</v>
      </c>
      <c r="C29">
        <v>50</v>
      </c>
      <c r="D29">
        <v>7</v>
      </c>
      <c r="E29">
        <v>0.1</v>
      </c>
    </row>
    <row r="30" spans="1:10">
      <c r="A30" t="s">
        <v>17</v>
      </c>
      <c r="B30">
        <v>1751</v>
      </c>
      <c r="C30">
        <v>50</v>
      </c>
      <c r="D30">
        <v>7</v>
      </c>
      <c r="E30">
        <v>0.1</v>
      </c>
    </row>
    <row r="31" spans="1:10">
      <c r="A31" t="s">
        <v>17</v>
      </c>
      <c r="B31">
        <v>1752</v>
      </c>
      <c r="C31">
        <v>50</v>
      </c>
      <c r="D31">
        <v>7</v>
      </c>
      <c r="E31">
        <v>0.1</v>
      </c>
    </row>
    <row r="32" spans="1:10">
      <c r="A32" t="s">
        <v>17</v>
      </c>
      <c r="B32">
        <v>1753</v>
      </c>
      <c r="C32">
        <v>50</v>
      </c>
      <c r="D32">
        <v>7</v>
      </c>
      <c r="E32">
        <v>0.1</v>
      </c>
    </row>
    <row r="33" spans="1:5">
      <c r="A33" t="s">
        <v>17</v>
      </c>
      <c r="B33">
        <v>1754</v>
      </c>
      <c r="C33">
        <v>50</v>
      </c>
      <c r="D33">
        <v>7</v>
      </c>
      <c r="E33">
        <v>0.1</v>
      </c>
    </row>
    <row r="34" spans="1:5">
      <c r="A34" t="s">
        <v>17</v>
      </c>
      <c r="B34">
        <v>1755</v>
      </c>
      <c r="C34">
        <v>50</v>
      </c>
      <c r="D34">
        <v>7</v>
      </c>
      <c r="E34">
        <v>0.1</v>
      </c>
    </row>
    <row r="35" spans="1:5">
      <c r="A35" t="s">
        <v>17</v>
      </c>
      <c r="B35">
        <v>1756</v>
      </c>
      <c r="C35">
        <v>50</v>
      </c>
      <c r="D35">
        <v>7</v>
      </c>
      <c r="E35">
        <v>0.1</v>
      </c>
    </row>
    <row r="36" spans="1:5">
      <c r="A36" t="s">
        <v>17</v>
      </c>
      <c r="B36">
        <v>1757</v>
      </c>
      <c r="C36">
        <v>50</v>
      </c>
      <c r="D36">
        <v>7</v>
      </c>
      <c r="E36">
        <v>0.1</v>
      </c>
    </row>
    <row r="37" spans="1:5">
      <c r="A37" t="s">
        <v>17</v>
      </c>
      <c r="B37">
        <v>1758</v>
      </c>
      <c r="C37">
        <v>50</v>
      </c>
      <c r="D37">
        <v>7</v>
      </c>
      <c r="E37">
        <v>0.1</v>
      </c>
    </row>
    <row r="38" spans="1:5">
      <c r="A38" t="s">
        <v>17</v>
      </c>
      <c r="B38">
        <v>1759</v>
      </c>
      <c r="C38">
        <v>50</v>
      </c>
      <c r="D38">
        <v>7</v>
      </c>
      <c r="E38">
        <v>0.1</v>
      </c>
    </row>
    <row r="39" spans="1:5">
      <c r="A39" t="s">
        <v>17</v>
      </c>
      <c r="B39">
        <v>1760</v>
      </c>
      <c r="C39">
        <v>60</v>
      </c>
      <c r="D39">
        <v>7</v>
      </c>
      <c r="E39">
        <v>0.1</v>
      </c>
    </row>
    <row r="40" spans="1:5">
      <c r="A40" t="s">
        <v>17</v>
      </c>
      <c r="B40">
        <v>1761</v>
      </c>
      <c r="C40">
        <v>60</v>
      </c>
      <c r="D40">
        <v>7</v>
      </c>
      <c r="E40">
        <v>0.1</v>
      </c>
    </row>
    <row r="41" spans="1:5">
      <c r="A41" t="s">
        <v>17</v>
      </c>
      <c r="B41">
        <v>1762</v>
      </c>
      <c r="C41">
        <v>60</v>
      </c>
      <c r="D41">
        <v>7</v>
      </c>
      <c r="E41">
        <v>0.1</v>
      </c>
    </row>
    <row r="42" spans="1:5">
      <c r="A42" t="s">
        <v>17</v>
      </c>
      <c r="B42">
        <v>1763</v>
      </c>
      <c r="C42">
        <v>60</v>
      </c>
      <c r="D42">
        <v>7</v>
      </c>
      <c r="E42">
        <v>0.1</v>
      </c>
    </row>
    <row r="43" spans="1:5">
      <c r="A43" t="s">
        <v>17</v>
      </c>
      <c r="B43">
        <v>1764</v>
      </c>
      <c r="C43">
        <v>60</v>
      </c>
      <c r="D43">
        <v>7</v>
      </c>
      <c r="E43">
        <v>0.1</v>
      </c>
    </row>
    <row r="44" spans="1:5">
      <c r="A44" t="s">
        <v>17</v>
      </c>
      <c r="B44">
        <v>1765</v>
      </c>
      <c r="C44">
        <v>60</v>
      </c>
      <c r="D44">
        <v>7</v>
      </c>
      <c r="E44">
        <v>0.1</v>
      </c>
    </row>
    <row r="45" spans="1:5">
      <c r="A45" t="s">
        <v>17</v>
      </c>
      <c r="B45">
        <v>1766</v>
      </c>
      <c r="C45">
        <v>60</v>
      </c>
      <c r="D45">
        <v>7</v>
      </c>
      <c r="E45">
        <v>0.1</v>
      </c>
    </row>
    <row r="46" spans="1:5">
      <c r="A46" t="s">
        <v>17</v>
      </c>
      <c r="B46">
        <v>1767</v>
      </c>
      <c r="C46">
        <v>60</v>
      </c>
      <c r="D46">
        <v>7</v>
      </c>
      <c r="E46">
        <v>0.1</v>
      </c>
    </row>
    <row r="47" spans="1:5">
      <c r="A47" t="s">
        <v>17</v>
      </c>
      <c r="B47">
        <v>1768</v>
      </c>
      <c r="C47">
        <v>60</v>
      </c>
      <c r="D47">
        <v>7</v>
      </c>
      <c r="E47">
        <v>0.1</v>
      </c>
    </row>
    <row r="48" spans="1:5">
      <c r="A48" t="s">
        <v>17</v>
      </c>
      <c r="B48">
        <v>1769</v>
      </c>
      <c r="C48">
        <v>60</v>
      </c>
      <c r="D48">
        <v>7</v>
      </c>
      <c r="E48">
        <v>0.1</v>
      </c>
    </row>
    <row r="49" spans="1:5">
      <c r="A49" t="s">
        <v>17</v>
      </c>
      <c r="B49">
        <v>1770</v>
      </c>
      <c r="C49">
        <v>60</v>
      </c>
      <c r="D49">
        <v>7</v>
      </c>
      <c r="E49">
        <v>0.1</v>
      </c>
    </row>
    <row r="50" spans="1:5">
      <c r="A50" t="s">
        <v>17</v>
      </c>
      <c r="B50">
        <v>1950</v>
      </c>
      <c r="C50">
        <v>50</v>
      </c>
      <c r="D50">
        <v>9</v>
      </c>
      <c r="E50">
        <v>52.28</v>
      </c>
    </row>
    <row r="51" spans="1:5">
      <c r="A51" t="s">
        <v>17</v>
      </c>
      <c r="B51">
        <v>1951</v>
      </c>
      <c r="C51">
        <v>50</v>
      </c>
      <c r="D51">
        <v>9</v>
      </c>
      <c r="E51">
        <v>47.61</v>
      </c>
    </row>
    <row r="52" spans="1:5">
      <c r="A52" t="s">
        <v>17</v>
      </c>
      <c r="B52">
        <v>1952</v>
      </c>
      <c r="C52">
        <v>50</v>
      </c>
      <c r="D52">
        <v>9</v>
      </c>
      <c r="E52">
        <v>45.53</v>
      </c>
    </row>
    <row r="53" spans="1:5">
      <c r="A53" t="s">
        <v>17</v>
      </c>
      <c r="B53">
        <v>1953</v>
      </c>
      <c r="C53">
        <v>50</v>
      </c>
      <c r="D53">
        <v>9</v>
      </c>
      <c r="E53">
        <v>43.52</v>
      </c>
    </row>
    <row r="54" spans="1:5">
      <c r="A54" t="s">
        <v>17</v>
      </c>
      <c r="B54">
        <v>1954</v>
      </c>
      <c r="C54">
        <v>50</v>
      </c>
      <c r="D54">
        <v>9</v>
      </c>
      <c r="E54">
        <v>37.64</v>
      </c>
    </row>
    <row r="55" spans="1:5">
      <c r="A55" t="s">
        <v>17</v>
      </c>
      <c r="B55">
        <v>1955</v>
      </c>
      <c r="C55">
        <v>50</v>
      </c>
      <c r="D55">
        <v>9</v>
      </c>
      <c r="E55">
        <v>47.22</v>
      </c>
    </row>
    <row r="56" spans="1:5">
      <c r="A56" t="s">
        <v>17</v>
      </c>
      <c r="B56">
        <v>1958</v>
      </c>
      <c r="C56">
        <v>50</v>
      </c>
      <c r="D56">
        <v>9</v>
      </c>
      <c r="E56">
        <v>41.71</v>
      </c>
    </row>
    <row r="57" spans="1:5">
      <c r="A57" t="s">
        <v>17</v>
      </c>
      <c r="B57">
        <v>1959</v>
      </c>
      <c r="C57">
        <v>50</v>
      </c>
      <c r="D57">
        <v>9</v>
      </c>
      <c r="E57">
        <v>28.12</v>
      </c>
    </row>
    <row r="58" spans="1:5">
      <c r="A58" t="s">
        <v>17</v>
      </c>
      <c r="B58">
        <v>1960</v>
      </c>
      <c r="C58">
        <v>60</v>
      </c>
      <c r="D58">
        <v>9</v>
      </c>
      <c r="E58">
        <v>24.75</v>
      </c>
    </row>
    <row r="59" spans="1:5">
      <c r="A59" t="s">
        <v>17</v>
      </c>
      <c r="B59">
        <v>1961</v>
      </c>
      <c r="C59">
        <v>60</v>
      </c>
      <c r="D59">
        <v>9</v>
      </c>
      <c r="E59">
        <v>20.2</v>
      </c>
    </row>
    <row r="60" spans="1:5">
      <c r="A60" t="s">
        <v>17</v>
      </c>
      <c r="B60">
        <v>1962</v>
      </c>
      <c r="C60">
        <v>60</v>
      </c>
      <c r="D60">
        <v>9</v>
      </c>
      <c r="E60">
        <v>24.42</v>
      </c>
    </row>
    <row r="61" spans="1:5">
      <c r="A61" t="s">
        <v>17</v>
      </c>
      <c r="B61">
        <v>1963</v>
      </c>
      <c r="C61">
        <v>60</v>
      </c>
      <c r="D61">
        <v>9</v>
      </c>
      <c r="E61">
        <v>39.299999999999997</v>
      </c>
    </row>
    <row r="62" spans="1:5">
      <c r="A62" t="s">
        <v>17</v>
      </c>
      <c r="B62">
        <v>1964</v>
      </c>
      <c r="C62">
        <v>60</v>
      </c>
      <c r="D62">
        <v>9</v>
      </c>
      <c r="E62">
        <v>27.7</v>
      </c>
    </row>
    <row r="63" spans="1:5">
      <c r="A63" t="s">
        <v>17</v>
      </c>
      <c r="B63">
        <v>1965</v>
      </c>
      <c r="C63">
        <v>60</v>
      </c>
      <c r="D63">
        <v>9</v>
      </c>
      <c r="E63">
        <v>27</v>
      </c>
    </row>
    <row r="64" spans="1:5">
      <c r="A64" t="s">
        <v>17</v>
      </c>
      <c r="B64">
        <v>1966</v>
      </c>
      <c r="C64">
        <v>60</v>
      </c>
      <c r="D64">
        <v>9</v>
      </c>
      <c r="E64">
        <v>24.49</v>
      </c>
    </row>
    <row r="65" spans="1:5">
      <c r="A65" t="s">
        <v>17</v>
      </c>
      <c r="B65">
        <v>1967</v>
      </c>
      <c r="C65">
        <v>60</v>
      </c>
      <c r="D65">
        <v>9</v>
      </c>
      <c r="E65">
        <v>20.98</v>
      </c>
    </row>
    <row r="66" spans="1:5">
      <c r="A66" t="s">
        <v>17</v>
      </c>
      <c r="B66">
        <v>1968</v>
      </c>
      <c r="C66">
        <v>60</v>
      </c>
      <c r="D66">
        <v>9</v>
      </c>
      <c r="E66">
        <v>22.03</v>
      </c>
    </row>
    <row r="67" spans="1:5">
      <c r="A67" t="s">
        <v>17</v>
      </c>
      <c r="B67">
        <v>1969</v>
      </c>
      <c r="C67">
        <v>60</v>
      </c>
      <c r="D67">
        <v>9</v>
      </c>
      <c r="E67">
        <v>25.96</v>
      </c>
    </row>
    <row r="68" spans="1:5">
      <c r="A68" t="s">
        <v>17</v>
      </c>
      <c r="B68">
        <v>1970</v>
      </c>
      <c r="C68">
        <v>60</v>
      </c>
      <c r="D68">
        <v>9</v>
      </c>
      <c r="E68">
        <v>26.15</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defaultColWidth="11" defaultRowHeight="15.75"/>
  <sheetData>
    <row r="1" spans="1:7">
      <c r="A1">
        <v>2</v>
      </c>
      <c r="B1">
        <v>6</v>
      </c>
      <c r="D1">
        <v>2</v>
      </c>
      <c r="F1">
        <v>18</v>
      </c>
      <c r="G1">
        <v>5</v>
      </c>
    </row>
    <row r="2" spans="1:7">
      <c r="B2">
        <v>6</v>
      </c>
      <c r="D2">
        <v>6</v>
      </c>
      <c r="E2">
        <v>6</v>
      </c>
      <c r="F2">
        <v>22</v>
      </c>
      <c r="G2">
        <v>4</v>
      </c>
    </row>
    <row r="3" spans="1:7">
      <c r="A3">
        <v>18</v>
      </c>
      <c r="B3">
        <v>22</v>
      </c>
    </row>
    <row r="4" spans="1:7">
      <c r="A4">
        <v>5</v>
      </c>
      <c r="B4">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5"/>
  <sheetViews>
    <sheetView workbookViewId="0">
      <selection activeCell="E1" sqref="E1:G5"/>
    </sheetView>
  </sheetViews>
  <sheetFormatPr defaultColWidth="11" defaultRowHeight="15.75"/>
  <sheetData>
    <row r="1" spans="1:7">
      <c r="A1" s="14" t="s">
        <v>10</v>
      </c>
      <c r="B1">
        <v>9.36</v>
      </c>
      <c r="C1">
        <v>15.873333333333333</v>
      </c>
      <c r="D1" s="15"/>
      <c r="E1" s="14" t="s">
        <v>10</v>
      </c>
      <c r="F1">
        <v>9.36</v>
      </c>
      <c r="G1">
        <v>15.873333333333333</v>
      </c>
    </row>
    <row r="2" spans="1:7">
      <c r="A2" s="14" t="s">
        <v>11</v>
      </c>
      <c r="C2">
        <v>322.39500000000004</v>
      </c>
      <c r="D2" s="16"/>
      <c r="E2" s="14" t="s">
        <v>11</v>
      </c>
      <c r="G2">
        <v>322.39500000000004</v>
      </c>
    </row>
    <row r="3" spans="1:7">
      <c r="A3" s="14" t="s">
        <v>12</v>
      </c>
      <c r="B3">
        <v>24.939999999999998</v>
      </c>
      <c r="C3">
        <v>37.0075</v>
      </c>
      <c r="E3" s="14" t="s">
        <v>12</v>
      </c>
      <c r="F3">
        <v>24.939999999999998</v>
      </c>
      <c r="G3">
        <v>37.0075</v>
      </c>
    </row>
    <row r="4" spans="1:7">
      <c r="A4" s="17" t="s">
        <v>14</v>
      </c>
      <c r="B4" s="16">
        <v>20.488571428571426</v>
      </c>
      <c r="C4" s="16">
        <v>136.10250000000005</v>
      </c>
      <c r="E4" s="14" t="s">
        <v>17</v>
      </c>
      <c r="F4">
        <v>19.146111111111114</v>
      </c>
      <c r="G4">
        <v>12.912727272727272</v>
      </c>
    </row>
    <row r="5" spans="1:7">
      <c r="E5" s="17" t="s">
        <v>14</v>
      </c>
      <c r="F5" s="16">
        <v>19.521999999999995</v>
      </c>
      <c r="G5" s="16">
        <v>64.782105263157888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H3"/>
  <sheetViews>
    <sheetView workbookViewId="0">
      <selection activeCell="F1" sqref="F1:H3"/>
    </sheetView>
  </sheetViews>
  <sheetFormatPr defaultColWidth="11" defaultRowHeight="15.75"/>
  <sheetData>
    <row r="1" spans="1:8">
      <c r="A1" s="14" t="s">
        <v>10</v>
      </c>
      <c r="C1">
        <v>15.873333333333333</v>
      </c>
      <c r="D1">
        <v>9.36</v>
      </c>
      <c r="F1" s="14" t="s">
        <v>10</v>
      </c>
      <c r="G1">
        <v>9.36</v>
      </c>
      <c r="H1">
        <v>15.873333333333333</v>
      </c>
    </row>
    <row r="2" spans="1:8">
      <c r="A2" s="14" t="s">
        <v>11</v>
      </c>
      <c r="C2">
        <v>322.39500000000004</v>
      </c>
      <c r="F2" s="14" t="s">
        <v>11</v>
      </c>
      <c r="H2">
        <v>322.39500000000004</v>
      </c>
    </row>
    <row r="3" spans="1:8">
      <c r="A3" s="14" t="s">
        <v>12</v>
      </c>
      <c r="B3">
        <v>24.939999999999998</v>
      </c>
      <c r="C3">
        <v>37.0075</v>
      </c>
      <c r="F3" s="14" t="s">
        <v>12</v>
      </c>
      <c r="G3">
        <v>24.939999999999998</v>
      </c>
      <c r="H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Exercise 1</vt:lpstr>
      <vt:lpstr>Exercise 2</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sinbad7047@gmail.com</cp:lastModifiedBy>
  <dcterms:created xsi:type="dcterms:W3CDTF">2022-05-11T12:42:03Z</dcterms:created>
  <dcterms:modified xsi:type="dcterms:W3CDTF">2026-10-01T22:52:50Z</dcterms:modified>
</cp:coreProperties>
</file>